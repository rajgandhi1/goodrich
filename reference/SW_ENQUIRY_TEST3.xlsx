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2"/>
  <workbookPr/>
  <mc:AlternateContent xmlns:mc="http://schemas.openxmlformats.org/markup-compatibility/2006">
    <mc:Choice Requires="x15">
      <x15ac:absPath xmlns:x15ac="http://schemas.microsoft.com/office/spreadsheetml/2010/11/ac" url="/Users/shashnamrathod/Desktop/untitled folder 2/"/>
    </mc:Choice>
  </mc:AlternateContent>
  <xr:revisionPtr revIDLastSave="0" documentId="13_ncr:1_{DE114739-AFAD-5844-A9FB-CF2CABDF34E0}" xr6:coauthVersionLast="47" xr6:coauthVersionMax="47" xr10:uidLastSave="{00000000-0000-0000-0000-000000000000}"/>
  <bookViews>
    <workbookView xWindow="0" yWindow="500" windowWidth="24260" windowHeight="164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Sheet1!$A$1:$J$15</definedName>
    <definedName name="_xlnm._FilterDatabase" localSheetId="1" hidden="1">Sheet2!$A$1:$J$1</definedName>
    <definedName name="_xlnm._FilterDatabase" localSheetId="2" hidden="1">Sheet3!$A$1:$K$49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" i="2" l="1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</calcChain>
</file>

<file path=xl/sharedStrings.xml><?xml version="1.0" encoding="utf-8"?>
<sst xmlns="http://schemas.openxmlformats.org/spreadsheetml/2006/main" count="375" uniqueCount="118">
  <si>
    <t>BT0380496</t>
  </si>
  <si>
    <t>GASKET RD-SW-RF-100NB-CL150-M410</t>
  </si>
  <si>
    <t>B00018994</t>
  </si>
  <si>
    <t>BT0380514</t>
  </si>
  <si>
    <t xml:space="preserve">
GASKET RD-SW-RF-250NB-CL150-M410</t>
  </si>
  <si>
    <t>B00019365</t>
  </si>
  <si>
    <t>BT0380495</t>
  </si>
  <si>
    <t>GASKET RD-SW-RF-40NB-CL150-M410</t>
  </si>
  <si>
    <t>B00019101</t>
  </si>
  <si>
    <t>BT0380505</t>
  </si>
  <si>
    <t>GASKET RD-SW-RF-25NB-CL150-M410</t>
  </si>
  <si>
    <t>B00018998</t>
  </si>
  <si>
    <t>BT0380499</t>
  </si>
  <si>
    <t xml:space="preserve">
GASKET RD-SW-RF-50NB-CL150-M410</t>
  </si>
  <si>
    <t>B00019195</t>
  </si>
  <si>
    <t>BT0380494</t>
  </si>
  <si>
    <t>GASKET RD-SW-RF-150NB-CL150-M410</t>
  </si>
  <si>
    <t>B00018989</t>
  </si>
  <si>
    <t>BT0380497</t>
  </si>
  <si>
    <t>GASKET RD-SW-RF-80NB-CL300-M410</t>
  </si>
  <si>
    <t>B00019008</t>
  </si>
  <si>
    <t>BT0380498</t>
  </si>
  <si>
    <t>GASKET RD-SW-RF-40NB-CL300-M410</t>
  </si>
  <si>
    <t>B00019012</t>
  </si>
  <si>
    <t>BT0380539</t>
  </si>
  <si>
    <t>GASKET RD-SW-RF-25NB-CL300-M410</t>
  </si>
  <si>
    <t>B00019015</t>
  </si>
  <si>
    <t>BT0380510</t>
  </si>
  <si>
    <t>GASKET RD-SW-RF-100NB-CL300-M410</t>
  </si>
  <si>
    <t>B00019018</t>
  </si>
  <si>
    <t>BT0380511</t>
  </si>
  <si>
    <t>GASKET RD-SW-RF-150NB-CL300-M410</t>
  </si>
  <si>
    <t>B00019223</t>
  </si>
  <si>
    <t>BT0380504</t>
  </si>
  <si>
    <t>GASKET RD-SW-RF-40NB-CL600-M410</t>
  </si>
  <si>
    <t>B00019016</t>
  </si>
  <si>
    <t>BT0380491</t>
  </si>
  <si>
    <t>GASKET RD-SW-RF-25NB-CL600-M410</t>
  </si>
  <si>
    <t>B00019017</t>
  </si>
  <si>
    <t>BT0380519</t>
  </si>
  <si>
    <t>GASKET RD-SW-RF-50NB-CL600-M410</t>
  </si>
  <si>
    <t>B00019639</t>
  </si>
  <si>
    <t>MOC</t>
  </si>
  <si>
    <t>Graphoil with SS-316 Foils</t>
  </si>
  <si>
    <t>SL.NO.</t>
  </si>
  <si>
    <t>MATERIAL CODE</t>
  </si>
  <si>
    <t>MATERIAL DESCRIPTION</t>
  </si>
  <si>
    <t>DOCUMENTS</t>
  </si>
  <si>
    <t>CERTIFICATION</t>
  </si>
  <si>
    <t>QTY</t>
  </si>
  <si>
    <t>GGPL DESCRIPTION</t>
  </si>
  <si>
    <t>SPW 4"X150# CS-OR+316L/FG+316-IR ASME B16.20</t>
  </si>
  <si>
    <t>SPW 10"X150# CS-OR+316L/FG+316-IR ASME B16.20</t>
  </si>
  <si>
    <t>SPW 1.5"X150# CS-OR+316L/FG+316-IR ASME B16.20</t>
  </si>
  <si>
    <t>SPW 1"X150# CS-OR+316L/FG+316-IR ASME B16.20</t>
  </si>
  <si>
    <t>SPW 2"X150# CS-OR+316L/FG+316-IR ASME B16.20</t>
  </si>
  <si>
    <t>SPW 6"X150# CS-OR+316L/FG+316-IR ASME B16.20</t>
  </si>
  <si>
    <t>SPW 3"X300# CS-OR+316L/FG+316-IR ASME B16.20</t>
  </si>
  <si>
    <t>SPW 1.5"X300# CS-OR+316L/FG+316-IR ASME B16.20</t>
  </si>
  <si>
    <t>SPW 1"X300# CS-OR+316L/FG+316-IR ASME B16.20</t>
  </si>
  <si>
    <t>SPW 4"X300# CS-OR+316L/FG+316-IR ASME B16.20</t>
  </si>
  <si>
    <t>SPW 6"X300# CS-OR+316L/FG+316-IR ASME B16.20</t>
  </si>
  <si>
    <t>SPW 1.5"X600# INC 800-OR+INC 800/PTFE+INC 800-IR ASME B16.20</t>
  </si>
  <si>
    <t>SPW 1"X600# INC 800-OR+INC 800/PTFE+INC 800-IR ASME B16.20</t>
  </si>
  <si>
    <t>SPW 2"X600# INC 800-OR+INC 800/PTFE+INC 800-IR ASME B16.20</t>
  </si>
  <si>
    <t>BT0380541</t>
  </si>
  <si>
    <t>GASKET-SW-150NB-150CL-16.20-M005</t>
  </si>
  <si>
    <t>B00025173</t>
  </si>
  <si>
    <t>Sp.Winding + Inner Ring SS316, Filler Graphite, SS316 Outer Ring, Low
Stress (4.5 mm thick)</t>
  </si>
  <si>
    <t>BT0380543</t>
  </si>
  <si>
    <t>GASKET-SW-40NB-150CL-16.20-M005</t>
  </si>
  <si>
    <t>B00025175</t>
  </si>
  <si>
    <t>BT0380542</t>
  </si>
  <si>
    <t>GASKET-SW-350NB-150CL-16.20-M005</t>
  </si>
  <si>
    <t>B00025174</t>
  </si>
  <si>
    <t>BT0380545</t>
  </si>
  <si>
    <t>GASKET-SW-200NB-150CL-16.20-M005</t>
  </si>
  <si>
    <t>B00025242</t>
  </si>
  <si>
    <t>BT0380544</t>
  </si>
  <si>
    <t>GASKET-SW-50NB-150CL-16.20-M005</t>
  </si>
  <si>
    <t>B00025197</t>
  </si>
  <si>
    <t>BT0380546</t>
  </si>
  <si>
    <t>GASKET-SW-100NB-150CL-16.20-M005</t>
  </si>
  <si>
    <t>B00025243</t>
  </si>
  <si>
    <t>BT0380549</t>
  </si>
  <si>
    <t>GASKET-SW-20NB-150CL-16.20-M005</t>
  </si>
  <si>
    <t>B00025246</t>
  </si>
  <si>
    <t>BT0380548</t>
  </si>
  <si>
    <t>GASKET-SW-80NB-150CL-16.20-M005</t>
  </si>
  <si>
    <t>B00025245</t>
  </si>
  <si>
    <t xml:space="preserve">DOCUMENTS </t>
  </si>
  <si>
    <t>SP. WINDING + INNER RING: SS316, FILLER: GRAPHITE, CS OUTER RING, LOW STRESS ( 4.5 mm thick )</t>
  </si>
  <si>
    <t>BT0238536</t>
  </si>
  <si>
    <t>GASKET-OCT-RJ-20NB-R14-16.20-M302</t>
  </si>
  <si>
    <t>B00025329</t>
  </si>
  <si>
    <t>Stainless Steel (Forging), ASTM-A182 Gr.F316</t>
  </si>
  <si>
    <t>ADN P5-GASKET-OCT-RJ-20NB-R14-16.20-M302</t>
  </si>
  <si>
    <t>ADNMRM-GASKET RD-SW-RF-50NB-CL600-M410</t>
  </si>
  <si>
    <t>BT0380507</t>
  </si>
  <si>
    <t>GASKET RD-SW-RF-50NB-CL300-M410</t>
  </si>
  <si>
    <t>B00019280</t>
  </si>
  <si>
    <t>ADN P5-GASKET-SW-100NB-150CL-16.20-M005</t>
  </si>
  <si>
    <t>ADN P5-GASKET-SW-150NB-150CL-16.20-M005</t>
  </si>
  <si>
    <t>ADN P5-GASKET-SW-200NB-150CL-16.20-M005</t>
  </si>
  <si>
    <t>BT0380547</t>
  </si>
  <si>
    <t>ADN P5-GASKET-SW-250NB-150CL-16.20-M005</t>
  </si>
  <si>
    <t>B00025244</t>
  </si>
  <si>
    <t>BT0380554</t>
  </si>
  <si>
    <t>GASKET-SW-50NB-600CL-B16.20-M005</t>
  </si>
  <si>
    <t>B00025376</t>
  </si>
  <si>
    <t>BT0380553</t>
  </si>
  <si>
    <t>GASKET-SW-20NB-600CL-B16.20-M005</t>
  </si>
  <si>
    <t>B00025378</t>
  </si>
  <si>
    <t>BT0380552</t>
  </si>
  <si>
    <t>GASKET-SW-15NB-600CL-B16.20-M005</t>
  </si>
  <si>
    <t>B00025379</t>
  </si>
  <si>
    <t>inconel</t>
  </si>
  <si>
    <t>316ir csor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</si>
</sst>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mbria"/>
      <family val="1"/>
    </font>
    <font>
      <sz val="14"/>
      <color rgb="FF000000"/>
      <name val="Cambria"/>
      <family val="1"/>
    </font>
    <font>
      <b/>
      <sz val="16"/>
      <name val="Cambria"/>
      <family val="1"/>
    </font>
    <font>
      <b/>
      <sz val="16"/>
      <color rgb="FFFF0000"/>
      <name val="Cambria"/>
      <family val="1"/>
    </font>
    <font>
      <sz val="16"/>
      <color theme="1"/>
      <name val="Cambria"/>
      <family val="1"/>
    </font>
    <font>
      <sz val="22"/>
      <color theme="1"/>
      <name val="Cambria"/>
      <family val="1"/>
    </font>
    <font>
      <sz val="14"/>
      <color theme="1"/>
      <name val="Calibri"/>
      <family val="2"/>
      <scheme val="minor"/>
    </font>
    <font>
      <sz val="11"/>
      <color theme="1"/>
      <name val="Cambria"/>
      <family val="1"/>
    </font>
    <font>
      <sz val="2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  <fill>
      <patternFill patternType="solid">
        <fgColor rgb="FFFFFF00"/>
        <bgColor rgb="FF0000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5" fillId="3" borderId="1" xfId="1" applyFont="1" applyFill="1" applyBorder="1" applyAlignment="1">
      <alignment horizontal="center" vertical="center"/>
    </xf>
    <xf numFmtId="164" fontId="2" fillId="0" borderId="1" xfId="1" applyFont="1" applyBorder="1" applyAlignment="1">
      <alignment horizontal="center" vertical="center"/>
    </xf>
    <xf numFmtId="164" fontId="2" fillId="0" borderId="0" xfId="1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center" vertical="center" wrapText="1"/>
    </xf>
    <xf numFmtId="164" fontId="7" fillId="0" borderId="0" xfId="1" applyFont="1" applyAlignment="1">
      <alignment horizontal="center"/>
    </xf>
    <xf numFmtId="164" fontId="2" fillId="0" borderId="3" xfId="1" applyFont="1" applyBorder="1" applyAlignment="1">
      <alignment horizontal="center" vertical="center"/>
    </xf>
    <xf numFmtId="164" fontId="7" fillId="0" borderId="2" xfId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wrapText="1"/>
    </xf>
    <xf numFmtId="164" fontId="0" fillId="0" borderId="0" xfId="1" applyFont="1" applyAlignment="1">
      <alignment horizontal="center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center" wrapText="1"/>
    </xf>
    <xf numFmtId="164" fontId="10" fillId="0" borderId="0" xfId="1" applyFont="1" applyAlignment="1">
      <alignment horizontal="center"/>
    </xf>
    <xf numFmtId="164" fontId="10" fillId="0" borderId="2" xfId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164" fontId="2" fillId="0" borderId="0" xfId="1" applyFon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topLeftCell="C1" workbookViewId="0">
      <selection activeCell="H6" sqref="H6"/>
    </sheetView>
  </sheetViews>
  <sheetFormatPr baseColWidth="10" defaultColWidth="8.6640625" defaultRowHeight="18" x14ac:dyDescent="0.2"/>
  <cols>
    <col min="1" max="1" width="10.6640625" style="1" customWidth="1"/>
    <col min="2" max="2" width="16.6640625" style="10" customWidth="1"/>
    <col min="3" max="3" width="30.6640625" style="12" customWidth="1"/>
    <col min="4" max="4" width="20.6640625" style="1" customWidth="1"/>
    <col min="5" max="5" width="17.1640625" style="10" bestFit="1" customWidth="1"/>
    <col min="6" max="6" width="13.6640625" style="1" customWidth="1"/>
    <col min="7" max="7" width="50.6640625" style="10" customWidth="1"/>
    <col min="8" max="8" width="11.6640625" style="1" bestFit="1" customWidth="1"/>
    <col min="9" max="9" width="18.1640625" style="16" bestFit="1" customWidth="1"/>
    <col min="10" max="10" width="24.5" style="16" bestFit="1" customWidth="1"/>
    <col min="11" max="16384" width="8.6640625" style="1"/>
  </cols>
  <sheetData>
    <row r="1" spans="1:10" s="5" customFormat="1" ht="43" customHeight="1" x14ac:dyDescent="0.2">
      <c r="A1" s="3" t="s">
        <v>44</v>
      </c>
      <c r="B1" s="8" t="s">
        <v>45</v>
      </c>
      <c r="C1" s="8" t="s">
        <v>46</v>
      </c>
      <c r="D1" s="3" t="s">
        <v>47</v>
      </c>
      <c r="E1" s="8" t="s">
        <v>42</v>
      </c>
      <c r="F1" s="8" t="s">
        <v>48</v>
      </c>
      <c r="G1" s="8" t="s">
        <v>50</v>
      </c>
      <c r="H1" s="4" t="s">
        <v>49</v>
      </c>
      <c r="I1" s="14"/>
      <c r="J1" s="14"/>
    </row>
    <row r="2" spans="1:10" s="7" customFormat="1" ht="50" customHeight="1" x14ac:dyDescent="0.2">
      <c r="A2" s="2">
        <v>1</v>
      </c>
      <c r="B2" s="9" t="s">
        <v>0</v>
      </c>
      <c r="C2" s="9" t="s">
        <v>1</v>
      </c>
      <c r="D2" s="6" t="s">
        <v>2</v>
      </c>
      <c r="E2" s="13" t="s">
        <v>43</v>
      </c>
      <c r="F2" s="2">
        <v>3.1</v>
      </c>
      <c r="G2" s="13" t="s">
        <v>51</v>
      </c>
      <c r="H2" s="2">
        <v>11</v>
      </c>
      <c r="I2" s="15"/>
      <c r="J2" s="15"/>
    </row>
    <row r="3" spans="1:10" s="7" customFormat="1" ht="50" customHeight="1" x14ac:dyDescent="0.2">
      <c r="A3" s="2">
        <v>2</v>
      </c>
      <c r="B3" s="9" t="s">
        <v>3</v>
      </c>
      <c r="C3" s="11" t="s">
        <v>4</v>
      </c>
      <c r="D3" s="6" t="s">
        <v>5</v>
      </c>
      <c r="E3" s="13" t="s">
        <v>43</v>
      </c>
      <c r="F3" s="2">
        <v>3.1</v>
      </c>
      <c r="G3" s="13" t="s">
        <v>52</v>
      </c>
      <c r="H3" s="2">
        <v>2</v>
      </c>
      <c r="I3" s="15"/>
      <c r="J3" s="15"/>
    </row>
    <row r="4" spans="1:10" s="7" customFormat="1" ht="50" customHeight="1" x14ac:dyDescent="0.2">
      <c r="A4" s="2">
        <v>3</v>
      </c>
      <c r="B4" s="9" t="s">
        <v>6</v>
      </c>
      <c r="C4" s="9" t="s">
        <v>7</v>
      </c>
      <c r="D4" s="6" t="s">
        <v>8</v>
      </c>
      <c r="E4" s="13" t="s">
        <v>43</v>
      </c>
      <c r="F4" s="2">
        <v>3.1</v>
      </c>
      <c r="G4" s="13" t="s">
        <v>53</v>
      </c>
      <c r="H4" s="2">
        <v>3</v>
      </c>
      <c r="I4" s="15"/>
      <c r="J4" s="15"/>
    </row>
    <row r="5" spans="1:10" s="7" customFormat="1" ht="50" customHeight="1" x14ac:dyDescent="0.2">
      <c r="A5" s="2">
        <v>4</v>
      </c>
      <c r="B5" s="9" t="s">
        <v>9</v>
      </c>
      <c r="C5" s="9" t="s">
        <v>10</v>
      </c>
      <c r="D5" s="6" t="s">
        <v>11</v>
      </c>
      <c r="E5" s="13" t="s">
        <v>43</v>
      </c>
      <c r="F5" s="2">
        <v>3.1</v>
      </c>
      <c r="G5" s="13" t="s">
        <v>54</v>
      </c>
      <c r="H5" s="2">
        <v>3</v>
      </c>
      <c r="I5" s="15"/>
      <c r="J5" s="15"/>
    </row>
    <row r="6" spans="1:10" s="7" customFormat="1" ht="50" customHeight="1" x14ac:dyDescent="0.2">
      <c r="A6" s="2">
        <v>5</v>
      </c>
      <c r="B6" s="9" t="s">
        <v>12</v>
      </c>
      <c r="C6" s="9" t="s">
        <v>13</v>
      </c>
      <c r="D6" s="6" t="s">
        <v>14</v>
      </c>
      <c r="E6" s="13" t="s">
        <v>43</v>
      </c>
      <c r="F6" s="2">
        <v>3.1</v>
      </c>
      <c r="G6" s="13" t="s">
        <v>55</v>
      </c>
      <c r="H6" s="2">
        <v>2</v>
      </c>
      <c r="I6" s="15"/>
      <c r="J6" s="15"/>
    </row>
    <row r="7" spans="1:10" s="7" customFormat="1" ht="50" customHeight="1" x14ac:dyDescent="0.2">
      <c r="A7" s="2">
        <v>6</v>
      </c>
      <c r="B7" s="9" t="s">
        <v>15</v>
      </c>
      <c r="C7" s="9" t="s">
        <v>16</v>
      </c>
      <c r="D7" s="6" t="s">
        <v>17</v>
      </c>
      <c r="E7" s="13" t="s">
        <v>43</v>
      </c>
      <c r="F7" s="2">
        <v>3.1</v>
      </c>
      <c r="G7" s="13" t="s">
        <v>56</v>
      </c>
      <c r="H7" s="2">
        <v>3</v>
      </c>
      <c r="I7" s="15"/>
      <c r="J7" s="15"/>
    </row>
    <row r="8" spans="1:10" s="7" customFormat="1" ht="50" customHeight="1" x14ac:dyDescent="0.2">
      <c r="A8" s="2">
        <v>7</v>
      </c>
      <c r="B8" s="9" t="s">
        <v>18</v>
      </c>
      <c r="C8" s="9" t="s">
        <v>19</v>
      </c>
      <c r="D8" s="6" t="s">
        <v>20</v>
      </c>
      <c r="E8" s="13" t="s">
        <v>43</v>
      </c>
      <c r="F8" s="2">
        <v>3.1</v>
      </c>
      <c r="G8" s="13" t="s">
        <v>57</v>
      </c>
      <c r="H8" s="2">
        <v>8</v>
      </c>
      <c r="I8" s="15"/>
      <c r="J8" s="15"/>
    </row>
    <row r="9" spans="1:10" s="7" customFormat="1" ht="50" customHeight="1" x14ac:dyDescent="0.2">
      <c r="A9" s="2">
        <v>8</v>
      </c>
      <c r="B9" s="9" t="s">
        <v>21</v>
      </c>
      <c r="C9" s="9" t="s">
        <v>22</v>
      </c>
      <c r="D9" s="6" t="s">
        <v>23</v>
      </c>
      <c r="E9" s="13" t="s">
        <v>43</v>
      </c>
      <c r="F9" s="2">
        <v>3.1</v>
      </c>
      <c r="G9" s="13" t="s">
        <v>58</v>
      </c>
      <c r="H9" s="2">
        <v>11</v>
      </c>
      <c r="I9" s="15"/>
      <c r="J9" s="15"/>
    </row>
    <row r="10" spans="1:10" s="7" customFormat="1" ht="50" customHeight="1" x14ac:dyDescent="0.2">
      <c r="A10" s="2">
        <v>9</v>
      </c>
      <c r="B10" s="9" t="s">
        <v>24</v>
      </c>
      <c r="C10" s="9" t="s">
        <v>25</v>
      </c>
      <c r="D10" s="6" t="s">
        <v>26</v>
      </c>
      <c r="E10" s="13" t="s">
        <v>43</v>
      </c>
      <c r="F10" s="2">
        <v>3.1</v>
      </c>
      <c r="G10" s="13" t="s">
        <v>59</v>
      </c>
      <c r="H10" s="2">
        <v>4</v>
      </c>
      <c r="I10" s="15"/>
      <c r="J10" s="15"/>
    </row>
    <row r="11" spans="1:10" s="7" customFormat="1" ht="50" customHeight="1" x14ac:dyDescent="0.2">
      <c r="A11" s="2">
        <v>10</v>
      </c>
      <c r="B11" s="9" t="s">
        <v>27</v>
      </c>
      <c r="C11" s="9" t="s">
        <v>28</v>
      </c>
      <c r="D11" s="6" t="s">
        <v>29</v>
      </c>
      <c r="E11" s="13" t="s">
        <v>43</v>
      </c>
      <c r="F11" s="2">
        <v>3.1</v>
      </c>
      <c r="G11" s="13" t="s">
        <v>60</v>
      </c>
      <c r="H11" s="2">
        <v>3</v>
      </c>
      <c r="I11" s="15"/>
      <c r="J11" s="15"/>
    </row>
    <row r="12" spans="1:10" s="7" customFormat="1" ht="50" customHeight="1" x14ac:dyDescent="0.2">
      <c r="A12" s="2">
        <v>11</v>
      </c>
      <c r="B12" s="9" t="s">
        <v>30</v>
      </c>
      <c r="C12" s="9" t="s">
        <v>31</v>
      </c>
      <c r="D12" s="6" t="s">
        <v>32</v>
      </c>
      <c r="E12" s="13" t="s">
        <v>43</v>
      </c>
      <c r="F12" s="2">
        <v>3.1</v>
      </c>
      <c r="G12" s="13" t="s">
        <v>61</v>
      </c>
      <c r="H12" s="2">
        <v>4</v>
      </c>
      <c r="I12" s="15"/>
      <c r="J12" s="15"/>
    </row>
    <row r="13" spans="1:10" s="7" customFormat="1" ht="50" customHeight="1" x14ac:dyDescent="0.2">
      <c r="A13" s="2">
        <v>12</v>
      </c>
      <c r="B13" s="9" t="s">
        <v>33</v>
      </c>
      <c r="C13" s="9" t="s">
        <v>34</v>
      </c>
      <c r="D13" s="6" t="s">
        <v>35</v>
      </c>
      <c r="E13" s="13" t="s">
        <v>43</v>
      </c>
      <c r="F13" s="2">
        <v>3.1</v>
      </c>
      <c r="G13" s="13" t="s">
        <v>62</v>
      </c>
      <c r="H13" s="2">
        <v>11</v>
      </c>
      <c r="I13" s="15"/>
      <c r="J13" s="15"/>
    </row>
    <row r="14" spans="1:10" s="7" customFormat="1" ht="50" customHeight="1" x14ac:dyDescent="0.2">
      <c r="A14" s="2">
        <v>13</v>
      </c>
      <c r="B14" s="9" t="s">
        <v>36</v>
      </c>
      <c r="C14" s="9" t="s">
        <v>37</v>
      </c>
      <c r="D14" s="6" t="s">
        <v>38</v>
      </c>
      <c r="E14" s="13" t="s">
        <v>43</v>
      </c>
      <c r="F14" s="2">
        <v>3.1</v>
      </c>
      <c r="G14" s="13" t="s">
        <v>63</v>
      </c>
      <c r="H14" s="2">
        <v>7</v>
      </c>
      <c r="I14" s="15"/>
      <c r="J14" s="15"/>
    </row>
    <row r="15" spans="1:10" s="7" customFormat="1" ht="50" customHeight="1" thickBot="1" x14ac:dyDescent="0.25">
      <c r="A15" s="2">
        <v>14</v>
      </c>
      <c r="B15" s="9" t="s">
        <v>39</v>
      </c>
      <c r="C15" s="9" t="s">
        <v>40</v>
      </c>
      <c r="D15" s="6" t="s">
        <v>41</v>
      </c>
      <c r="E15" s="13" t="s">
        <v>43</v>
      </c>
      <c r="F15" s="2">
        <v>3.1</v>
      </c>
      <c r="G15" s="13" t="s">
        <v>64</v>
      </c>
      <c r="H15" s="2">
        <v>3</v>
      </c>
      <c r="I15" s="15"/>
      <c r="J15" s="21"/>
    </row>
    <row r="16" spans="1:10" s="17" customFormat="1" ht="40" customHeight="1" thickBot="1" x14ac:dyDescent="0.35">
      <c r="B16" s="18"/>
      <c r="C16" s="19"/>
      <c r="E16" s="18"/>
      <c r="G16" s="18"/>
      <c r="I16" s="20"/>
      <c r="J16" s="2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7DBBF-B716-4664-A661-71B7DC18E161}">
  <dimension ref="A1:J24"/>
  <sheetViews>
    <sheetView topLeftCell="B1" workbookViewId="0">
      <selection activeCell="H1" sqref="H1:I1048576"/>
    </sheetView>
  </sheetViews>
  <sheetFormatPr baseColWidth="10" defaultColWidth="8.6640625" defaultRowHeight="19" x14ac:dyDescent="0.25"/>
  <cols>
    <col min="1" max="1" width="10.1640625" style="23" bestFit="1" customWidth="1"/>
    <col min="2" max="2" width="16.33203125" style="23" bestFit="1" customWidth="1"/>
    <col min="3" max="3" width="29.6640625" style="24" customWidth="1"/>
    <col min="4" max="4" width="19.33203125" style="23" bestFit="1" customWidth="1"/>
    <col min="5" max="5" width="50.6640625" style="26" customWidth="1"/>
    <col min="6" max="6" width="15" style="23" customWidth="1"/>
    <col min="7" max="7" width="8.6640625" style="23" customWidth="1"/>
    <col min="8" max="8" width="19.5" style="27" bestFit="1" customWidth="1"/>
    <col min="9" max="9" width="24.1640625" style="27" bestFit="1" customWidth="1"/>
    <col min="10" max="10" width="8.6640625" style="28"/>
    <col min="11" max="16384" width="8.6640625" style="23"/>
  </cols>
  <sheetData>
    <row r="1" spans="1:10" s="5" customFormat="1" ht="43" customHeight="1" x14ac:dyDescent="0.2">
      <c r="A1" s="3" t="s">
        <v>44</v>
      </c>
      <c r="B1" s="8" t="s">
        <v>45</v>
      </c>
      <c r="C1" s="8" t="s">
        <v>46</v>
      </c>
      <c r="D1" s="3" t="s">
        <v>47</v>
      </c>
      <c r="E1" s="8" t="s">
        <v>42</v>
      </c>
      <c r="F1" s="8" t="s">
        <v>48</v>
      </c>
      <c r="G1" s="4" t="s">
        <v>49</v>
      </c>
      <c r="H1" s="14"/>
      <c r="I1" s="14"/>
      <c r="J1" s="7"/>
    </row>
    <row r="2" spans="1:10" s="25" customFormat="1" ht="50" customHeight="1" x14ac:dyDescent="0.2">
      <c r="A2" s="2">
        <v>1</v>
      </c>
      <c r="B2" s="6" t="s">
        <v>0</v>
      </c>
      <c r="C2" s="9" t="s">
        <v>1</v>
      </c>
      <c r="D2" s="6" t="s">
        <v>2</v>
      </c>
      <c r="E2" s="13" t="s">
        <v>43</v>
      </c>
      <c r="F2" s="2">
        <v>3.1</v>
      </c>
      <c r="G2" s="2">
        <v>11</v>
      </c>
      <c r="H2" s="15"/>
      <c r="I2" s="15"/>
      <c r="J2" s="7">
        <f>100/25</f>
        <v>4</v>
      </c>
    </row>
    <row r="3" spans="1:10" s="25" customFormat="1" ht="50" customHeight="1" x14ac:dyDescent="0.2">
      <c r="A3" s="2">
        <v>2</v>
      </c>
      <c r="B3" s="6" t="s">
        <v>3</v>
      </c>
      <c r="C3" s="11" t="s">
        <v>4</v>
      </c>
      <c r="D3" s="6" t="s">
        <v>5</v>
      </c>
      <c r="E3" s="13" t="s">
        <v>43</v>
      </c>
      <c r="F3" s="2">
        <v>3.1</v>
      </c>
      <c r="G3" s="2">
        <v>2</v>
      </c>
      <c r="H3" s="15"/>
      <c r="I3" s="15"/>
      <c r="J3" s="7">
        <f>250/25</f>
        <v>10</v>
      </c>
    </row>
    <row r="4" spans="1:10" s="25" customFormat="1" ht="50" customHeight="1" x14ac:dyDescent="0.2">
      <c r="A4" s="2">
        <v>3</v>
      </c>
      <c r="B4" s="6" t="s">
        <v>6</v>
      </c>
      <c r="C4" s="9" t="s">
        <v>7</v>
      </c>
      <c r="D4" s="6" t="s">
        <v>8</v>
      </c>
      <c r="E4" s="13" t="s">
        <v>43</v>
      </c>
      <c r="F4" s="2">
        <v>3.1</v>
      </c>
      <c r="G4" s="2">
        <v>3</v>
      </c>
      <c r="H4" s="15"/>
      <c r="I4" s="15"/>
      <c r="J4" s="7">
        <f>40/25</f>
        <v>1.6</v>
      </c>
    </row>
    <row r="5" spans="1:10" s="25" customFormat="1" ht="50" customHeight="1" x14ac:dyDescent="0.2">
      <c r="A5" s="2">
        <v>4</v>
      </c>
      <c r="B5" s="6" t="s">
        <v>9</v>
      </c>
      <c r="C5" s="9" t="s">
        <v>10</v>
      </c>
      <c r="D5" s="6" t="s">
        <v>11</v>
      </c>
      <c r="E5" s="13" t="s">
        <v>43</v>
      </c>
      <c r="F5" s="2">
        <v>3.1</v>
      </c>
      <c r="G5" s="2">
        <v>3</v>
      </c>
      <c r="H5" s="15"/>
      <c r="I5" s="15"/>
      <c r="J5" s="7">
        <f>25/25</f>
        <v>1</v>
      </c>
    </row>
    <row r="6" spans="1:10" s="25" customFormat="1" ht="50" customHeight="1" x14ac:dyDescent="0.2">
      <c r="A6" s="2">
        <v>5</v>
      </c>
      <c r="B6" s="6" t="s">
        <v>12</v>
      </c>
      <c r="C6" s="9" t="s">
        <v>13</v>
      </c>
      <c r="D6" s="6" t="s">
        <v>14</v>
      </c>
      <c r="E6" s="13" t="s">
        <v>43</v>
      </c>
      <c r="F6" s="2">
        <v>3.1</v>
      </c>
      <c r="G6" s="2">
        <v>2</v>
      </c>
      <c r="H6" s="15"/>
      <c r="I6" s="15"/>
      <c r="J6" s="7">
        <f>50/25</f>
        <v>2</v>
      </c>
    </row>
    <row r="7" spans="1:10" s="25" customFormat="1" ht="50" customHeight="1" x14ac:dyDescent="0.2">
      <c r="A7" s="2">
        <v>6</v>
      </c>
      <c r="B7" s="6" t="s">
        <v>15</v>
      </c>
      <c r="C7" s="9" t="s">
        <v>16</v>
      </c>
      <c r="D7" s="6" t="s">
        <v>17</v>
      </c>
      <c r="E7" s="13" t="s">
        <v>43</v>
      </c>
      <c r="F7" s="2">
        <v>3.1</v>
      </c>
      <c r="G7" s="2">
        <v>3</v>
      </c>
      <c r="H7" s="15"/>
      <c r="I7" s="15"/>
      <c r="J7" s="7">
        <f>150/25</f>
        <v>6</v>
      </c>
    </row>
    <row r="8" spans="1:10" s="25" customFormat="1" ht="50" customHeight="1" x14ac:dyDescent="0.2">
      <c r="A8" s="2">
        <v>7</v>
      </c>
      <c r="B8" s="6" t="s">
        <v>18</v>
      </c>
      <c r="C8" s="9" t="s">
        <v>19</v>
      </c>
      <c r="D8" s="6" t="s">
        <v>20</v>
      </c>
      <c r="E8" s="13" t="s">
        <v>43</v>
      </c>
      <c r="F8" s="2">
        <v>3.1</v>
      </c>
      <c r="G8" s="2">
        <v>8</v>
      </c>
      <c r="H8" s="15"/>
      <c r="I8" s="15"/>
      <c r="J8" s="7">
        <f>80/25</f>
        <v>3.2</v>
      </c>
    </row>
    <row r="9" spans="1:10" s="25" customFormat="1" ht="50" customHeight="1" x14ac:dyDescent="0.2">
      <c r="A9" s="2">
        <v>8</v>
      </c>
      <c r="B9" s="6" t="s">
        <v>21</v>
      </c>
      <c r="C9" s="9" t="s">
        <v>22</v>
      </c>
      <c r="D9" s="6" t="s">
        <v>23</v>
      </c>
      <c r="E9" s="13" t="s">
        <v>43</v>
      </c>
      <c r="F9" s="2">
        <v>3.1</v>
      </c>
      <c r="G9" s="2">
        <v>11</v>
      </c>
      <c r="H9" s="15"/>
      <c r="I9" s="15"/>
      <c r="J9" s="7">
        <f>40/25</f>
        <v>1.6</v>
      </c>
    </row>
    <row r="10" spans="1:10" s="25" customFormat="1" ht="50" customHeight="1" x14ac:dyDescent="0.2">
      <c r="A10" s="2">
        <v>9</v>
      </c>
      <c r="B10" s="6" t="s">
        <v>24</v>
      </c>
      <c r="C10" s="9" t="s">
        <v>25</v>
      </c>
      <c r="D10" s="6" t="s">
        <v>26</v>
      </c>
      <c r="E10" s="13" t="s">
        <v>43</v>
      </c>
      <c r="F10" s="2">
        <v>3.1</v>
      </c>
      <c r="G10" s="2">
        <v>4</v>
      </c>
      <c r="H10" s="15"/>
      <c r="I10" s="15"/>
      <c r="J10" s="7">
        <f>25/25</f>
        <v>1</v>
      </c>
    </row>
    <row r="11" spans="1:10" s="25" customFormat="1" ht="50" customHeight="1" x14ac:dyDescent="0.2">
      <c r="A11" s="2">
        <v>10</v>
      </c>
      <c r="B11" s="6" t="s">
        <v>27</v>
      </c>
      <c r="C11" s="9" t="s">
        <v>28</v>
      </c>
      <c r="D11" s="6" t="s">
        <v>29</v>
      </c>
      <c r="E11" s="13" t="s">
        <v>43</v>
      </c>
      <c r="F11" s="2">
        <v>3.1</v>
      </c>
      <c r="G11" s="2">
        <v>3</v>
      </c>
      <c r="H11" s="15"/>
      <c r="I11" s="15"/>
      <c r="J11" s="7">
        <f>100/25</f>
        <v>4</v>
      </c>
    </row>
    <row r="12" spans="1:10" s="25" customFormat="1" ht="50" customHeight="1" x14ac:dyDescent="0.2">
      <c r="A12" s="2">
        <v>11</v>
      </c>
      <c r="B12" s="6" t="s">
        <v>30</v>
      </c>
      <c r="C12" s="9" t="s">
        <v>31</v>
      </c>
      <c r="D12" s="6" t="s">
        <v>32</v>
      </c>
      <c r="E12" s="13" t="s">
        <v>43</v>
      </c>
      <c r="F12" s="2">
        <v>3.1</v>
      </c>
      <c r="G12" s="2">
        <v>4</v>
      </c>
      <c r="H12" s="15"/>
      <c r="I12" s="15"/>
      <c r="J12" s="7">
        <f>150/25</f>
        <v>6</v>
      </c>
    </row>
    <row r="13" spans="1:10" s="25" customFormat="1" ht="50" customHeight="1" x14ac:dyDescent="0.2">
      <c r="A13" s="2">
        <v>12</v>
      </c>
      <c r="B13" s="6" t="s">
        <v>33</v>
      </c>
      <c r="C13" s="9" t="s">
        <v>34</v>
      </c>
      <c r="D13" s="6" t="s">
        <v>35</v>
      </c>
      <c r="E13" s="13" t="s">
        <v>43</v>
      </c>
      <c r="F13" s="2">
        <v>3.1</v>
      </c>
      <c r="G13" s="2">
        <v>11</v>
      </c>
      <c r="H13" s="15"/>
      <c r="I13" s="15"/>
      <c r="J13" s="7">
        <f>40/25</f>
        <v>1.6</v>
      </c>
    </row>
    <row r="14" spans="1:10" s="25" customFormat="1" ht="50" customHeight="1" x14ac:dyDescent="0.2">
      <c r="A14" s="2">
        <v>13</v>
      </c>
      <c r="B14" s="6" t="s">
        <v>36</v>
      </c>
      <c r="C14" s="9" t="s">
        <v>37</v>
      </c>
      <c r="D14" s="6" t="s">
        <v>38</v>
      </c>
      <c r="E14" s="13" t="s">
        <v>43</v>
      </c>
      <c r="F14" s="2">
        <v>3.1</v>
      </c>
      <c r="G14" s="2">
        <v>7</v>
      </c>
      <c r="H14" s="15"/>
      <c r="I14" s="15"/>
      <c r="J14" s="7">
        <f>25/25</f>
        <v>1</v>
      </c>
    </row>
    <row r="15" spans="1:10" s="25" customFormat="1" ht="50" customHeight="1" x14ac:dyDescent="0.2">
      <c r="A15" s="2">
        <v>14</v>
      </c>
      <c r="B15" s="6" t="s">
        <v>39</v>
      </c>
      <c r="C15" s="9" t="s">
        <v>40</v>
      </c>
      <c r="D15" s="6" t="s">
        <v>41</v>
      </c>
      <c r="E15" s="13" t="s">
        <v>43</v>
      </c>
      <c r="F15" s="2">
        <v>3.1</v>
      </c>
      <c r="G15" s="2">
        <v>3</v>
      </c>
      <c r="H15" s="15"/>
      <c r="I15" s="15"/>
      <c r="J15" s="7">
        <f>50/25</f>
        <v>2</v>
      </c>
    </row>
    <row r="16" spans="1:10" s="25" customFormat="1" ht="57" customHeight="1" x14ac:dyDescent="0.2">
      <c r="A16" s="2">
        <v>15</v>
      </c>
      <c r="B16" s="6" t="s">
        <v>65</v>
      </c>
      <c r="C16" s="9" t="s">
        <v>66</v>
      </c>
      <c r="D16" s="6" t="s">
        <v>67</v>
      </c>
      <c r="E16" s="13" t="s">
        <v>68</v>
      </c>
      <c r="F16" s="2">
        <v>3.1</v>
      </c>
      <c r="G16" s="2">
        <v>6</v>
      </c>
      <c r="H16" s="15"/>
      <c r="I16" s="15"/>
      <c r="J16" s="7">
        <f>150/25</f>
        <v>6</v>
      </c>
    </row>
    <row r="17" spans="1:10" s="25" customFormat="1" ht="57" customHeight="1" x14ac:dyDescent="0.2">
      <c r="A17" s="2">
        <v>16</v>
      </c>
      <c r="B17" s="6" t="s">
        <v>69</v>
      </c>
      <c r="C17" s="9" t="s">
        <v>70</v>
      </c>
      <c r="D17" s="6" t="s">
        <v>71</v>
      </c>
      <c r="E17" s="13" t="s">
        <v>68</v>
      </c>
      <c r="F17" s="2">
        <v>3.1</v>
      </c>
      <c r="G17" s="2">
        <v>4</v>
      </c>
      <c r="H17" s="15"/>
      <c r="I17" s="15"/>
      <c r="J17" s="7">
        <f>40/25</f>
        <v>1.6</v>
      </c>
    </row>
    <row r="18" spans="1:10" s="25" customFormat="1" ht="57" customHeight="1" x14ac:dyDescent="0.2">
      <c r="A18" s="2">
        <v>17</v>
      </c>
      <c r="B18" s="6" t="s">
        <v>72</v>
      </c>
      <c r="C18" s="9" t="s">
        <v>73</v>
      </c>
      <c r="D18" s="6" t="s">
        <v>74</v>
      </c>
      <c r="E18" s="13" t="s">
        <v>68</v>
      </c>
      <c r="F18" s="2">
        <v>3.1</v>
      </c>
      <c r="G18" s="2">
        <v>3</v>
      </c>
      <c r="H18" s="15"/>
      <c r="I18" s="15"/>
      <c r="J18" s="7">
        <f>350/25</f>
        <v>14</v>
      </c>
    </row>
    <row r="19" spans="1:10" s="25" customFormat="1" ht="57" customHeight="1" x14ac:dyDescent="0.2">
      <c r="A19" s="2">
        <v>18</v>
      </c>
      <c r="B19" s="6" t="s">
        <v>75</v>
      </c>
      <c r="C19" s="9" t="s">
        <v>76</v>
      </c>
      <c r="D19" s="6" t="s">
        <v>77</v>
      </c>
      <c r="E19" s="13" t="s">
        <v>68</v>
      </c>
      <c r="F19" s="2">
        <v>3.1</v>
      </c>
      <c r="G19" s="2">
        <v>3</v>
      </c>
      <c r="H19" s="15"/>
      <c r="I19" s="15"/>
      <c r="J19" s="7">
        <f>200/25</f>
        <v>8</v>
      </c>
    </row>
    <row r="20" spans="1:10" s="25" customFormat="1" ht="57" customHeight="1" x14ac:dyDescent="0.2">
      <c r="A20" s="2">
        <v>22</v>
      </c>
      <c r="B20" s="6" t="s">
        <v>78</v>
      </c>
      <c r="C20" s="9" t="s">
        <v>79</v>
      </c>
      <c r="D20" s="6" t="s">
        <v>80</v>
      </c>
      <c r="E20" s="13" t="s">
        <v>68</v>
      </c>
      <c r="F20" s="2">
        <v>3.1</v>
      </c>
      <c r="G20" s="2">
        <v>8</v>
      </c>
      <c r="H20" s="15"/>
      <c r="I20" s="15"/>
      <c r="J20" s="7">
        <f>50/25</f>
        <v>2</v>
      </c>
    </row>
    <row r="21" spans="1:10" s="25" customFormat="1" ht="57" customHeight="1" x14ac:dyDescent="0.2">
      <c r="A21" s="2">
        <v>24</v>
      </c>
      <c r="B21" s="6" t="s">
        <v>81</v>
      </c>
      <c r="C21" s="9" t="s">
        <v>82</v>
      </c>
      <c r="D21" s="6" t="s">
        <v>83</v>
      </c>
      <c r="E21" s="13" t="s">
        <v>68</v>
      </c>
      <c r="F21" s="2">
        <v>3.1</v>
      </c>
      <c r="G21" s="2">
        <v>6</v>
      </c>
      <c r="H21" s="15"/>
      <c r="I21" s="15"/>
      <c r="J21" s="7">
        <f>100/25</f>
        <v>4</v>
      </c>
    </row>
    <row r="22" spans="1:10" s="25" customFormat="1" ht="57" customHeight="1" x14ac:dyDescent="0.2">
      <c r="A22" s="2">
        <v>25</v>
      </c>
      <c r="B22" s="6" t="s">
        <v>84</v>
      </c>
      <c r="C22" s="9" t="s">
        <v>85</v>
      </c>
      <c r="D22" s="6" t="s">
        <v>86</v>
      </c>
      <c r="E22" s="13" t="s">
        <v>68</v>
      </c>
      <c r="F22" s="2">
        <v>3.1</v>
      </c>
      <c r="G22" s="2">
        <v>4</v>
      </c>
      <c r="H22" s="15"/>
      <c r="I22" s="15"/>
      <c r="J22" s="7">
        <f>20/25</f>
        <v>0.8</v>
      </c>
    </row>
    <row r="23" spans="1:10" s="25" customFormat="1" ht="57" customHeight="1" thickBot="1" x14ac:dyDescent="0.25">
      <c r="A23" s="2">
        <v>26</v>
      </c>
      <c r="B23" s="6" t="s">
        <v>87</v>
      </c>
      <c r="C23" s="9" t="s">
        <v>88</v>
      </c>
      <c r="D23" s="6" t="s">
        <v>89</v>
      </c>
      <c r="E23" s="13" t="s">
        <v>68</v>
      </c>
      <c r="F23" s="2">
        <v>3.1</v>
      </c>
      <c r="G23" s="2">
        <v>2</v>
      </c>
      <c r="H23" s="15"/>
      <c r="I23" s="21"/>
      <c r="J23" s="7">
        <f>80/25</f>
        <v>3.2</v>
      </c>
    </row>
    <row r="24" spans="1:10" s="29" customFormat="1" ht="40" customHeight="1" thickBot="1" x14ac:dyDescent="0.4">
      <c r="C24" s="30"/>
      <c r="E24" s="31"/>
      <c r="H24" s="32"/>
      <c r="I24" s="3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91C6F-E3AF-4223-93B2-12F584000824}">
  <dimension ref="A1:K49"/>
  <sheetViews>
    <sheetView topLeftCell="A113" workbookViewId="0">
      <selection activeCell="H4" sqref="H4"/>
    </sheetView>
  </sheetViews>
  <sheetFormatPr baseColWidth="10" defaultColWidth="8.6640625" defaultRowHeight="18" x14ac:dyDescent="0.2"/>
  <cols>
    <col min="1" max="1" width="10.6640625" style="7" customWidth="1"/>
    <col min="2" max="2" width="16.6640625" style="7" customWidth="1"/>
    <col min="3" max="3" width="30.6640625" style="12" customWidth="1"/>
    <col min="4" max="4" width="19.6640625" style="7" customWidth="1"/>
    <col min="5" max="5" width="46.6640625" style="12" customWidth="1"/>
    <col min="6" max="6" width="8.6640625" style="7"/>
    <col min="7" max="7" width="18.1640625" style="42" bestFit="1" customWidth="1"/>
    <col min="8" max="8" width="20.83203125" style="42" bestFit="1" customWidth="1"/>
    <col min="9" max="16384" width="8.6640625" style="7"/>
  </cols>
  <sheetData>
    <row r="1" spans="1:8" s="5" customFormat="1" ht="45" customHeight="1" x14ac:dyDescent="0.2">
      <c r="A1" s="3" t="s">
        <v>44</v>
      </c>
      <c r="B1" s="8" t="s">
        <v>45</v>
      </c>
      <c r="C1" s="8" t="s">
        <v>46</v>
      </c>
      <c r="D1" s="3" t="s">
        <v>90</v>
      </c>
      <c r="E1" s="8" t="s">
        <v>42</v>
      </c>
      <c r="F1" s="4" t="s">
        <v>49</v>
      </c>
      <c r="G1" s="14"/>
      <c r="H1" s="14"/>
    </row>
    <row r="2" spans="1:8" ht="57" customHeight="1" x14ac:dyDescent="0.2">
      <c r="A2" s="2">
        <v>1</v>
      </c>
      <c r="B2" s="6" t="s">
        <v>0</v>
      </c>
      <c r="C2" s="9" t="s">
        <v>1</v>
      </c>
      <c r="D2" s="6" t="s">
        <v>2</v>
      </c>
      <c r="E2" s="13" t="s">
        <v>91</v>
      </c>
      <c r="F2" s="2">
        <v>11</v>
      </c>
      <c r="G2" s="15"/>
      <c r="H2" s="15"/>
    </row>
    <row r="3" spans="1:8" ht="57" customHeight="1" x14ac:dyDescent="0.2">
      <c r="A3" s="2">
        <v>2</v>
      </c>
      <c r="B3" s="6" t="s">
        <v>3</v>
      </c>
      <c r="C3" s="9" t="s">
        <v>4</v>
      </c>
      <c r="D3" s="6" t="s">
        <v>5</v>
      </c>
      <c r="E3" s="13" t="s">
        <v>91</v>
      </c>
      <c r="F3" s="2">
        <v>2</v>
      </c>
      <c r="G3" s="15"/>
      <c r="H3" s="15"/>
    </row>
    <row r="4" spans="1:8" ht="57" customHeight="1" x14ac:dyDescent="0.2">
      <c r="A4" s="2">
        <v>3</v>
      </c>
      <c r="B4" s="6" t="s">
        <v>6</v>
      </c>
      <c r="C4" s="9" t="s">
        <v>7</v>
      </c>
      <c r="D4" s="6" t="s">
        <v>8</v>
      </c>
      <c r="E4" s="13" t="s">
        <v>91</v>
      </c>
      <c r="F4" s="2">
        <v>3</v>
      </c>
      <c r="G4" s="15"/>
      <c r="H4" s="15"/>
    </row>
    <row r="5" spans="1:8" ht="57" customHeight="1" x14ac:dyDescent="0.2">
      <c r="A5" s="2">
        <v>4</v>
      </c>
      <c r="B5" s="6" t="s">
        <v>9</v>
      </c>
      <c r="C5" s="9" t="s">
        <v>10</v>
      </c>
      <c r="D5" s="6" t="s">
        <v>11</v>
      </c>
      <c r="E5" s="13" t="s">
        <v>91</v>
      </c>
      <c r="F5" s="2">
        <v>3</v>
      </c>
      <c r="G5" s="15"/>
      <c r="H5" s="15"/>
    </row>
    <row r="6" spans="1:8" ht="57" customHeight="1" x14ac:dyDescent="0.2">
      <c r="A6" s="2">
        <v>5</v>
      </c>
      <c r="B6" s="6" t="s">
        <v>12</v>
      </c>
      <c r="C6" s="9" t="s">
        <v>13</v>
      </c>
      <c r="D6" s="6" t="s">
        <v>14</v>
      </c>
      <c r="E6" s="13" t="s">
        <v>91</v>
      </c>
      <c r="F6" s="2">
        <v>2</v>
      </c>
      <c r="G6" s="15"/>
      <c r="H6" s="15"/>
    </row>
    <row r="7" spans="1:8" ht="57" customHeight="1" x14ac:dyDescent="0.2">
      <c r="A7" s="2">
        <v>6</v>
      </c>
      <c r="B7" s="6" t="s">
        <v>15</v>
      </c>
      <c r="C7" s="9" t="s">
        <v>16</v>
      </c>
      <c r="D7" s="6" t="s">
        <v>17</v>
      </c>
      <c r="E7" s="13" t="s">
        <v>91</v>
      </c>
      <c r="F7" s="2">
        <v>3</v>
      </c>
      <c r="G7" s="15"/>
      <c r="H7" s="15"/>
    </row>
    <row r="8" spans="1:8" ht="57" customHeight="1" x14ac:dyDescent="0.2">
      <c r="A8" s="2">
        <v>7</v>
      </c>
      <c r="B8" s="6" t="s">
        <v>18</v>
      </c>
      <c r="C8" s="9" t="s">
        <v>19</v>
      </c>
      <c r="D8" s="6" t="s">
        <v>20</v>
      </c>
      <c r="E8" s="13" t="s">
        <v>91</v>
      </c>
      <c r="F8" s="2">
        <v>8</v>
      </c>
      <c r="G8" s="15"/>
      <c r="H8" s="15"/>
    </row>
    <row r="9" spans="1:8" ht="57" customHeight="1" x14ac:dyDescent="0.2">
      <c r="A9" s="2">
        <v>8</v>
      </c>
      <c r="B9" s="6" t="s">
        <v>21</v>
      </c>
      <c r="C9" s="9" t="s">
        <v>22</v>
      </c>
      <c r="D9" s="6" t="s">
        <v>23</v>
      </c>
      <c r="E9" s="13" t="s">
        <v>91</v>
      </c>
      <c r="F9" s="2">
        <v>11</v>
      </c>
      <c r="G9" s="15"/>
      <c r="H9" s="15"/>
    </row>
    <row r="10" spans="1:8" ht="57" customHeight="1" x14ac:dyDescent="0.2">
      <c r="A10" s="2">
        <v>9</v>
      </c>
      <c r="B10" s="6" t="s">
        <v>24</v>
      </c>
      <c r="C10" s="9" t="s">
        <v>25</v>
      </c>
      <c r="D10" s="6" t="s">
        <v>26</v>
      </c>
      <c r="E10" s="13" t="s">
        <v>91</v>
      </c>
      <c r="F10" s="2">
        <v>4</v>
      </c>
      <c r="G10" s="15"/>
      <c r="H10" s="15"/>
    </row>
    <row r="11" spans="1:8" ht="57" customHeight="1" x14ac:dyDescent="0.2">
      <c r="A11" s="2">
        <v>10</v>
      </c>
      <c r="B11" s="6" t="s">
        <v>27</v>
      </c>
      <c r="C11" s="9" t="s">
        <v>28</v>
      </c>
      <c r="D11" s="6" t="s">
        <v>29</v>
      </c>
      <c r="E11" s="13" t="s">
        <v>91</v>
      </c>
      <c r="F11" s="2">
        <v>3</v>
      </c>
      <c r="G11" s="15"/>
      <c r="H11" s="15"/>
    </row>
    <row r="12" spans="1:8" ht="57" customHeight="1" x14ac:dyDescent="0.2">
      <c r="A12" s="2">
        <v>11</v>
      </c>
      <c r="B12" s="6" t="s">
        <v>30</v>
      </c>
      <c r="C12" s="9" t="s">
        <v>31</v>
      </c>
      <c r="D12" s="6" t="s">
        <v>32</v>
      </c>
      <c r="E12" s="13" t="s">
        <v>91</v>
      </c>
      <c r="F12" s="2">
        <v>4</v>
      </c>
      <c r="G12" s="15"/>
      <c r="H12" s="15"/>
    </row>
    <row r="13" spans="1:8" ht="57" customHeight="1" x14ac:dyDescent="0.2">
      <c r="A13" s="2">
        <v>12</v>
      </c>
      <c r="B13" s="6" t="s">
        <v>33</v>
      </c>
      <c r="C13" s="9" t="s">
        <v>34</v>
      </c>
      <c r="D13" s="6" t="s">
        <v>35</v>
      </c>
      <c r="E13" s="13" t="s">
        <v>91</v>
      </c>
      <c r="F13" s="2">
        <v>11</v>
      </c>
      <c r="G13" s="15"/>
      <c r="H13" s="15"/>
    </row>
    <row r="14" spans="1:8" ht="57" customHeight="1" x14ac:dyDescent="0.2">
      <c r="A14" s="2">
        <v>13</v>
      </c>
      <c r="B14" s="6" t="s">
        <v>36</v>
      </c>
      <c r="C14" s="9" t="s">
        <v>37</v>
      </c>
      <c r="D14" s="6" t="s">
        <v>38</v>
      </c>
      <c r="E14" s="13" t="s">
        <v>91</v>
      </c>
      <c r="F14" s="2">
        <v>7</v>
      </c>
      <c r="G14" s="15"/>
      <c r="H14" s="15"/>
    </row>
    <row r="15" spans="1:8" ht="57" customHeight="1" x14ac:dyDescent="0.2">
      <c r="A15" s="2">
        <v>14</v>
      </c>
      <c r="B15" s="6" t="s">
        <v>39</v>
      </c>
      <c r="C15" s="9" t="s">
        <v>40</v>
      </c>
      <c r="D15" s="6" t="s">
        <v>41</v>
      </c>
      <c r="E15" s="13" t="s">
        <v>91</v>
      </c>
      <c r="F15" s="2">
        <v>3</v>
      </c>
      <c r="G15" s="15"/>
      <c r="H15" s="15"/>
    </row>
    <row r="16" spans="1:8" ht="57" customHeight="1" x14ac:dyDescent="0.2">
      <c r="A16" s="2">
        <v>15</v>
      </c>
      <c r="B16" s="6" t="s">
        <v>65</v>
      </c>
      <c r="C16" s="9" t="s">
        <v>66</v>
      </c>
      <c r="D16" s="6" t="s">
        <v>67</v>
      </c>
      <c r="E16" s="13" t="s">
        <v>68</v>
      </c>
      <c r="F16" s="2">
        <v>6</v>
      </c>
      <c r="G16" s="15"/>
      <c r="H16" s="15"/>
    </row>
    <row r="17" spans="1:11" ht="57" customHeight="1" x14ac:dyDescent="0.2">
      <c r="A17" s="2">
        <v>16</v>
      </c>
      <c r="B17" s="6" t="s">
        <v>69</v>
      </c>
      <c r="C17" s="9" t="s">
        <v>70</v>
      </c>
      <c r="D17" s="6" t="s">
        <v>71</v>
      </c>
      <c r="E17" s="13" t="s">
        <v>68</v>
      </c>
      <c r="F17" s="2">
        <v>4</v>
      </c>
      <c r="G17" s="15"/>
      <c r="H17" s="15"/>
    </row>
    <row r="18" spans="1:11" ht="57" customHeight="1" x14ac:dyDescent="0.2">
      <c r="A18" s="2">
        <v>17</v>
      </c>
      <c r="B18" s="6" t="s">
        <v>72</v>
      </c>
      <c r="C18" s="9" t="s">
        <v>73</v>
      </c>
      <c r="D18" s="6" t="s">
        <v>74</v>
      </c>
      <c r="E18" s="13" t="s">
        <v>68</v>
      </c>
      <c r="F18" s="2">
        <v>3</v>
      </c>
      <c r="G18" s="15"/>
      <c r="H18" s="15"/>
    </row>
    <row r="19" spans="1:11" ht="57" customHeight="1" x14ac:dyDescent="0.2">
      <c r="A19" s="2">
        <v>18</v>
      </c>
      <c r="B19" s="6" t="s">
        <v>75</v>
      </c>
      <c r="C19" s="9" t="s">
        <v>76</v>
      </c>
      <c r="D19" s="6" t="s">
        <v>77</v>
      </c>
      <c r="E19" s="13" t="s">
        <v>68</v>
      </c>
      <c r="F19" s="2">
        <v>3</v>
      </c>
      <c r="G19" s="15"/>
      <c r="H19" s="15"/>
    </row>
    <row r="20" spans="1:11" ht="57" customHeight="1" x14ac:dyDescent="0.2">
      <c r="A20" s="2">
        <v>22</v>
      </c>
      <c r="B20" s="6" t="s">
        <v>78</v>
      </c>
      <c r="C20" s="9" t="s">
        <v>79</v>
      </c>
      <c r="D20" s="6" t="s">
        <v>80</v>
      </c>
      <c r="E20" s="13" t="s">
        <v>68</v>
      </c>
      <c r="F20" s="2">
        <v>8</v>
      </c>
      <c r="G20" s="15"/>
      <c r="H20" s="15"/>
    </row>
    <row r="21" spans="1:11" ht="57" customHeight="1" x14ac:dyDescent="0.2">
      <c r="A21" s="2">
        <v>24</v>
      </c>
      <c r="B21" s="6" t="s">
        <v>81</v>
      </c>
      <c r="C21" s="9" t="s">
        <v>82</v>
      </c>
      <c r="D21" s="6" t="s">
        <v>83</v>
      </c>
      <c r="E21" s="13" t="s">
        <v>68</v>
      </c>
      <c r="F21" s="2">
        <v>6</v>
      </c>
      <c r="G21" s="15"/>
      <c r="H21" s="15"/>
    </row>
    <row r="22" spans="1:11" ht="57" customHeight="1" x14ac:dyDescent="0.2">
      <c r="A22" s="2">
        <v>25</v>
      </c>
      <c r="B22" s="6" t="s">
        <v>84</v>
      </c>
      <c r="C22" s="9" t="s">
        <v>85</v>
      </c>
      <c r="D22" s="6" t="s">
        <v>86</v>
      </c>
      <c r="E22" s="13" t="s">
        <v>68</v>
      </c>
      <c r="F22" s="2">
        <v>4</v>
      </c>
      <c r="G22" s="15"/>
      <c r="H22" s="15"/>
    </row>
    <row r="23" spans="1:11" ht="57" customHeight="1" x14ac:dyDescent="0.2">
      <c r="A23" s="2">
        <v>26</v>
      </c>
      <c r="B23" s="6" t="s">
        <v>87</v>
      </c>
      <c r="C23" s="9" t="s">
        <v>88</v>
      </c>
      <c r="D23" s="6" t="s">
        <v>89</v>
      </c>
      <c r="E23" s="13" t="s">
        <v>68</v>
      </c>
      <c r="F23" s="2">
        <v>2</v>
      </c>
      <c r="G23" s="15"/>
      <c r="H23" s="15"/>
    </row>
    <row r="24" spans="1:11" ht="57" customHeight="1" x14ac:dyDescent="0.2">
      <c r="A24" s="2">
        <v>27</v>
      </c>
      <c r="B24" s="34" t="s">
        <v>92</v>
      </c>
      <c r="C24" s="35" t="s">
        <v>93</v>
      </c>
      <c r="D24" s="36" t="s">
        <v>94</v>
      </c>
      <c r="E24" s="13" t="s">
        <v>95</v>
      </c>
      <c r="F24" s="37">
        <v>2</v>
      </c>
      <c r="G24" s="15"/>
      <c r="H24" s="15"/>
    </row>
    <row r="25" spans="1:11" ht="57" customHeight="1" x14ac:dyDescent="0.2">
      <c r="A25" s="2">
        <v>28</v>
      </c>
      <c r="B25" s="34" t="s">
        <v>92</v>
      </c>
      <c r="C25" s="35" t="s">
        <v>93</v>
      </c>
      <c r="D25" s="34" t="s">
        <v>94</v>
      </c>
      <c r="E25" s="13" t="s">
        <v>95</v>
      </c>
      <c r="F25" s="37">
        <v>2</v>
      </c>
      <c r="G25" s="15"/>
      <c r="H25" s="15"/>
    </row>
    <row r="26" spans="1:11" ht="57" customHeight="1" x14ac:dyDescent="0.2">
      <c r="A26" s="2">
        <v>29</v>
      </c>
      <c r="B26" s="34" t="s">
        <v>92</v>
      </c>
      <c r="C26" s="35" t="s">
        <v>93</v>
      </c>
      <c r="D26" s="34" t="s">
        <v>94</v>
      </c>
      <c r="E26" s="13" t="s">
        <v>95</v>
      </c>
      <c r="F26" s="37">
        <v>2</v>
      </c>
      <c r="G26" s="15"/>
      <c r="H26" s="15"/>
    </row>
    <row r="27" spans="1:11" ht="57" customHeight="1" x14ac:dyDescent="0.2">
      <c r="A27" s="2">
        <v>30</v>
      </c>
      <c r="B27" s="34" t="s">
        <v>92</v>
      </c>
      <c r="C27" s="35" t="s">
        <v>93</v>
      </c>
      <c r="D27" s="34" t="s">
        <v>94</v>
      </c>
      <c r="E27" s="13" t="s">
        <v>95</v>
      </c>
      <c r="F27" s="37">
        <v>2</v>
      </c>
      <c r="G27" s="15"/>
      <c r="H27" s="15"/>
    </row>
    <row r="28" spans="1:11" ht="57" customHeight="1" x14ac:dyDescent="0.2">
      <c r="A28" s="2">
        <v>31</v>
      </c>
      <c r="B28" s="34" t="s">
        <v>92</v>
      </c>
      <c r="C28" s="35" t="s">
        <v>93</v>
      </c>
      <c r="D28" s="34" t="s">
        <v>94</v>
      </c>
      <c r="E28" s="13" t="s">
        <v>95</v>
      </c>
      <c r="F28" s="37">
        <v>1</v>
      </c>
      <c r="G28" s="15"/>
      <c r="H28" s="15"/>
    </row>
    <row r="29" spans="1:11" ht="57" customHeight="1" x14ac:dyDescent="0.2">
      <c r="A29" s="2">
        <v>32</v>
      </c>
      <c r="B29" s="37" t="s">
        <v>92</v>
      </c>
      <c r="C29" s="38" t="s">
        <v>96</v>
      </c>
      <c r="D29" s="37" t="s">
        <v>94</v>
      </c>
      <c r="E29" s="13" t="s">
        <v>95</v>
      </c>
      <c r="F29" s="37">
        <v>2</v>
      </c>
      <c r="G29" s="15"/>
      <c r="H29" s="15"/>
    </row>
    <row r="30" spans="1:11" ht="57" customHeight="1" x14ac:dyDescent="0.2">
      <c r="A30" s="2">
        <v>33</v>
      </c>
      <c r="B30" s="37" t="s">
        <v>39</v>
      </c>
      <c r="C30" s="38" t="s">
        <v>97</v>
      </c>
      <c r="D30" s="37" t="s">
        <v>41</v>
      </c>
      <c r="E30" s="13" t="s">
        <v>43</v>
      </c>
      <c r="F30" s="37">
        <v>1</v>
      </c>
      <c r="G30" s="15"/>
      <c r="H30" s="15"/>
      <c r="K30" s="7" t="s">
        <v>116</v>
      </c>
    </row>
    <row r="31" spans="1:11" ht="57" customHeight="1" x14ac:dyDescent="0.2">
      <c r="A31" s="2">
        <v>34</v>
      </c>
      <c r="B31" s="37" t="s">
        <v>21</v>
      </c>
      <c r="C31" s="38" t="s">
        <v>22</v>
      </c>
      <c r="D31" s="37" t="s">
        <v>23</v>
      </c>
      <c r="E31" s="13" t="s">
        <v>43</v>
      </c>
      <c r="F31" s="37">
        <v>1</v>
      </c>
      <c r="G31" s="15"/>
      <c r="H31" s="15"/>
      <c r="K31" s="7" t="s">
        <v>117</v>
      </c>
    </row>
    <row r="32" spans="1:11" ht="57" customHeight="1" x14ac:dyDescent="0.2">
      <c r="A32" s="2">
        <v>35</v>
      </c>
      <c r="B32" s="37" t="s">
        <v>98</v>
      </c>
      <c r="C32" s="38" t="s">
        <v>99</v>
      </c>
      <c r="D32" s="37" t="s">
        <v>100</v>
      </c>
      <c r="E32" s="13" t="s">
        <v>43</v>
      </c>
      <c r="F32" s="37">
        <v>4</v>
      </c>
      <c r="G32" s="15"/>
      <c r="H32" s="15"/>
      <c r="K32" s="7" t="s">
        <v>117</v>
      </c>
    </row>
    <row r="33" spans="1:11" ht="57" customHeight="1" x14ac:dyDescent="0.2">
      <c r="A33" s="2">
        <v>36</v>
      </c>
      <c r="B33" s="37" t="s">
        <v>36</v>
      </c>
      <c r="C33" s="38" t="s">
        <v>37</v>
      </c>
      <c r="D33" s="37" t="s">
        <v>38</v>
      </c>
      <c r="E33" s="13" t="s">
        <v>43</v>
      </c>
      <c r="F33" s="37">
        <v>2</v>
      </c>
      <c r="G33" s="15"/>
      <c r="H33" s="15"/>
      <c r="K33" s="7" t="s">
        <v>116</v>
      </c>
    </row>
    <row r="34" spans="1:11" ht="57" customHeight="1" x14ac:dyDescent="0.2">
      <c r="A34" s="2">
        <v>37</v>
      </c>
      <c r="B34" s="37" t="s">
        <v>81</v>
      </c>
      <c r="C34" s="38" t="s">
        <v>101</v>
      </c>
      <c r="D34" s="37" t="s">
        <v>83</v>
      </c>
      <c r="E34" s="13" t="s">
        <v>68</v>
      </c>
      <c r="F34" s="37">
        <v>2</v>
      </c>
      <c r="G34" s="15"/>
      <c r="H34" s="15"/>
    </row>
    <row r="35" spans="1:11" ht="57" customHeight="1" x14ac:dyDescent="0.2">
      <c r="A35" s="2">
        <v>38</v>
      </c>
      <c r="B35" s="39" t="s">
        <v>65</v>
      </c>
      <c r="C35" s="40" t="s">
        <v>102</v>
      </c>
      <c r="D35" s="39" t="s">
        <v>67</v>
      </c>
      <c r="E35" s="13" t="s">
        <v>68</v>
      </c>
      <c r="F35" s="37">
        <v>1</v>
      </c>
      <c r="G35" s="15"/>
      <c r="H35" s="15"/>
    </row>
    <row r="36" spans="1:11" ht="57" customHeight="1" x14ac:dyDescent="0.2">
      <c r="A36" s="2">
        <v>39</v>
      </c>
      <c r="B36" s="37" t="s">
        <v>75</v>
      </c>
      <c r="C36" s="38" t="s">
        <v>103</v>
      </c>
      <c r="D36" s="37" t="s">
        <v>77</v>
      </c>
      <c r="E36" s="13" t="s">
        <v>68</v>
      </c>
      <c r="F36" s="37">
        <v>2</v>
      </c>
      <c r="G36" s="15"/>
      <c r="H36" s="15"/>
    </row>
    <row r="37" spans="1:11" ht="57" customHeight="1" x14ac:dyDescent="0.2">
      <c r="A37" s="2">
        <v>40</v>
      </c>
      <c r="B37" s="37" t="s">
        <v>104</v>
      </c>
      <c r="C37" s="38" t="s">
        <v>105</v>
      </c>
      <c r="D37" s="37" t="s">
        <v>106</v>
      </c>
      <c r="E37" s="13" t="s">
        <v>68</v>
      </c>
      <c r="F37" s="37">
        <v>1</v>
      </c>
      <c r="G37" s="15"/>
      <c r="H37" s="15"/>
    </row>
    <row r="38" spans="1:11" ht="57" customHeight="1" x14ac:dyDescent="0.2">
      <c r="A38" s="2">
        <v>41</v>
      </c>
      <c r="B38" s="34" t="s">
        <v>107</v>
      </c>
      <c r="C38" s="41" t="s">
        <v>108</v>
      </c>
      <c r="D38" s="34" t="s">
        <v>109</v>
      </c>
      <c r="E38" s="13" t="s">
        <v>68</v>
      </c>
      <c r="F38" s="37">
        <v>2</v>
      </c>
      <c r="G38" s="15"/>
      <c r="H38" s="15"/>
    </row>
    <row r="39" spans="1:11" ht="57" customHeight="1" x14ac:dyDescent="0.2">
      <c r="A39" s="2">
        <v>42</v>
      </c>
      <c r="B39" s="34" t="s">
        <v>107</v>
      </c>
      <c r="C39" s="41" t="s">
        <v>108</v>
      </c>
      <c r="D39" s="34" t="s">
        <v>109</v>
      </c>
      <c r="E39" s="13" t="s">
        <v>68</v>
      </c>
      <c r="F39" s="37">
        <v>2</v>
      </c>
      <c r="G39" s="15"/>
      <c r="H39" s="15"/>
    </row>
    <row r="40" spans="1:11" ht="57" customHeight="1" x14ac:dyDescent="0.2">
      <c r="A40" s="2">
        <v>43</v>
      </c>
      <c r="B40" s="34" t="s">
        <v>110</v>
      </c>
      <c r="C40" s="41" t="s">
        <v>111</v>
      </c>
      <c r="D40" s="34" t="s">
        <v>112</v>
      </c>
      <c r="E40" s="13" t="s">
        <v>68</v>
      </c>
      <c r="F40" s="37">
        <v>2</v>
      </c>
      <c r="G40" s="15"/>
      <c r="H40" s="15"/>
    </row>
    <row r="41" spans="1:11" ht="57" customHeight="1" x14ac:dyDescent="0.2">
      <c r="A41" s="2">
        <v>44</v>
      </c>
      <c r="B41" s="34" t="s">
        <v>113</v>
      </c>
      <c r="C41" s="41" t="s">
        <v>114</v>
      </c>
      <c r="D41" s="34" t="s">
        <v>115</v>
      </c>
      <c r="E41" s="13" t="s">
        <v>68</v>
      </c>
      <c r="F41" s="37">
        <v>1</v>
      </c>
      <c r="G41" s="15"/>
      <c r="H41" s="15"/>
    </row>
    <row r="42" spans="1:11" ht="57" customHeight="1" x14ac:dyDescent="0.2">
      <c r="A42" s="2">
        <v>45</v>
      </c>
      <c r="B42" s="34" t="s">
        <v>113</v>
      </c>
      <c r="C42" s="41" t="s">
        <v>114</v>
      </c>
      <c r="D42" s="34" t="s">
        <v>115</v>
      </c>
      <c r="E42" s="13" t="s">
        <v>68</v>
      </c>
      <c r="F42" s="37">
        <v>2</v>
      </c>
      <c r="G42" s="15"/>
      <c r="H42" s="15"/>
    </row>
    <row r="43" spans="1:11" ht="57" customHeight="1" x14ac:dyDescent="0.2">
      <c r="A43" s="2">
        <v>46</v>
      </c>
      <c r="B43" s="34" t="s">
        <v>113</v>
      </c>
      <c r="C43" s="41" t="s">
        <v>114</v>
      </c>
      <c r="D43" s="34" t="s">
        <v>115</v>
      </c>
      <c r="E43" s="13" t="s">
        <v>68</v>
      </c>
      <c r="F43" s="37">
        <v>2</v>
      </c>
      <c r="G43" s="15"/>
      <c r="H43" s="15"/>
    </row>
    <row r="44" spans="1:11" ht="57" customHeight="1" x14ac:dyDescent="0.2">
      <c r="A44" s="2">
        <v>47</v>
      </c>
      <c r="B44" s="34" t="s">
        <v>113</v>
      </c>
      <c r="C44" s="41" t="s">
        <v>114</v>
      </c>
      <c r="D44" s="34" t="s">
        <v>115</v>
      </c>
      <c r="E44" s="13" t="s">
        <v>68</v>
      </c>
      <c r="F44" s="37">
        <v>1</v>
      </c>
      <c r="G44" s="15"/>
      <c r="H44" s="15"/>
    </row>
    <row r="45" spans="1:11" ht="57" customHeight="1" x14ac:dyDescent="0.2">
      <c r="A45" s="2">
        <v>48</v>
      </c>
      <c r="B45" s="34" t="s">
        <v>113</v>
      </c>
      <c r="C45" s="41" t="s">
        <v>114</v>
      </c>
      <c r="D45" s="34" t="s">
        <v>115</v>
      </c>
      <c r="E45" s="13" t="s">
        <v>68</v>
      </c>
      <c r="F45" s="37">
        <v>2</v>
      </c>
      <c r="G45" s="15"/>
      <c r="H45" s="15"/>
    </row>
    <row r="46" spans="1:11" ht="57" customHeight="1" x14ac:dyDescent="0.2">
      <c r="A46" s="2">
        <v>49</v>
      </c>
      <c r="B46" s="34" t="s">
        <v>113</v>
      </c>
      <c r="C46" s="41" t="s">
        <v>114</v>
      </c>
      <c r="D46" s="34" t="s">
        <v>115</v>
      </c>
      <c r="E46" s="13" t="s">
        <v>68</v>
      </c>
      <c r="F46" s="37">
        <v>2</v>
      </c>
      <c r="G46" s="15"/>
      <c r="H46" s="15"/>
    </row>
    <row r="47" spans="1:11" ht="57" customHeight="1" x14ac:dyDescent="0.2">
      <c r="A47" s="2">
        <v>50</v>
      </c>
      <c r="B47" s="34" t="s">
        <v>113</v>
      </c>
      <c r="C47" s="41" t="s">
        <v>114</v>
      </c>
      <c r="D47" s="34" t="s">
        <v>115</v>
      </c>
      <c r="E47" s="13" t="s">
        <v>68</v>
      </c>
      <c r="F47" s="37">
        <v>1</v>
      </c>
      <c r="G47" s="15"/>
      <c r="H47" s="15"/>
    </row>
    <row r="48" spans="1:11" ht="57" customHeight="1" x14ac:dyDescent="0.2">
      <c r="A48" s="2">
        <v>51</v>
      </c>
      <c r="B48" s="34" t="s">
        <v>113</v>
      </c>
      <c r="C48" s="41" t="s">
        <v>114</v>
      </c>
      <c r="D48" s="34" t="s">
        <v>115</v>
      </c>
      <c r="E48" s="13" t="s">
        <v>68</v>
      </c>
      <c r="F48" s="37">
        <v>1</v>
      </c>
      <c r="G48" s="15"/>
      <c r="H48" s="15"/>
    </row>
    <row r="49" spans="1:8" ht="57" customHeight="1" x14ac:dyDescent="0.2">
      <c r="A49" s="2">
        <v>52</v>
      </c>
      <c r="B49" s="34" t="s">
        <v>110</v>
      </c>
      <c r="C49" s="35" t="s">
        <v>111</v>
      </c>
      <c r="D49" s="34" t="s">
        <v>112</v>
      </c>
      <c r="E49" s="13" t="s">
        <v>68</v>
      </c>
      <c r="F49" s="37">
        <v>1</v>
      </c>
      <c r="G49" s="15"/>
      <c r="H49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Madhavan Yohan</dc:creator>
  <cp:lastModifiedBy>Shashnam Rathod</cp:lastModifiedBy>
  <dcterms:created xsi:type="dcterms:W3CDTF">2015-06-05T18:17:20Z</dcterms:created>
  <dcterms:modified xsi:type="dcterms:W3CDTF">2026-04-21T10:28:46Z</dcterms:modified>
</cp:coreProperties>
</file>